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gulfcryollc-my.sharepoint.com/personal/haahmed_gulfcryo_com1/Documents/Desktop/Digital Marketing/ADIPEC/Spin and Win/"/>
    </mc:Choice>
  </mc:AlternateContent>
  <xr:revisionPtr revIDLastSave="12" documentId="11_71CA1169A0E12EB68A03CDB0752D5B7E70474A08" xr6:coauthVersionLast="47" xr6:coauthVersionMax="47" xr10:uidLastSave="{EF1498F2-31F4-49F9-B505-5CD2F8556BE7}"/>
  <bookViews>
    <workbookView xWindow="-93" yWindow="-93" windowWidth="19386" windowHeight="11466" tabRatio="500" activeTab="1" xr2:uid="{00000000-000D-0000-FFFF-FFFF00000000}"/>
  </bookViews>
  <sheets>
    <sheet name="Instructions" sheetId="1" r:id="rId1"/>
    <sheet name="Questions" sheetId="2" r:id="rId2"/>
    <sheet name="Wall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2" i="2" l="1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B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Hatem Mohamed Ahmed</author>
  </authors>
  <commentList>
    <comment ref="A1" authorId="0" shapeId="0" xr:uid="{98DBE7F3-551F-467E-8461-197564311F98}">
      <text>
        <r>
          <rPr>
            <b/>
            <sz val="9"/>
            <color indexed="81"/>
            <rFont val="Tahoma"/>
            <charset val="1"/>
          </rPr>
          <t>Hatem Mohamed Ahmed:</t>
        </r>
        <r>
          <rPr>
            <sz val="9"/>
            <color indexed="81"/>
            <rFont val="Tahoma"/>
            <charset val="1"/>
          </rPr>
          <t xml:space="preserve">
Source: Spin &amp; Win Questions - part 1.docx, uploaded 2026-10-23</t>
        </r>
      </text>
    </comment>
  </commentList>
</comments>
</file>

<file path=xl/sharedStrings.xml><?xml version="1.0" encoding="utf-8"?>
<sst xmlns="http://schemas.openxmlformats.org/spreadsheetml/2006/main" count="278" uniqueCount="186">
  <si>
    <t>ADIPEC 2026 spin and win: question bank</t>
  </si>
  <si>
    <t>How to use</t>
  </si>
  <si>
    <t>Fill one question per row in the Questions tab. Yellow cells are the ones to edit. Do not rename tabs or column headers; the app imports by header name.</t>
  </si>
  <si>
    <t>Language</t>
  </si>
  <si>
    <t>English only.</t>
  </si>
  <si>
    <t>question_id</t>
  </si>
  <si>
    <t>Already filled (Q01 to Q15). For new questions, continue the sequence (Q16, Q17...). Never reuse or change an ID once testing starts.</t>
  </si>
  <si>
    <t>wall</t>
  </si>
  <si>
    <t>Pick from the dropdown. The list comes from the Walls tab; add any missing walls there first.</t>
  </si>
  <si>
    <t>question</t>
  </si>
  <si>
    <t>The question as the visitor will see it. Keep it short enough to read on a phone.</t>
  </si>
  <si>
    <t>option_a to option_d</t>
  </si>
  <si>
    <t>Exactly four options. Only one must be correct. Avoid options like "All of the above"; the app shuffles option order.</t>
  </si>
  <si>
    <t>correct_option</t>
  </si>
  <si>
    <t>Dropdown: A, B, C or D. This is never shown to visitors.</t>
  </si>
  <si>
    <t>hint</t>
  </si>
  <si>
    <t>Points to a wall without naming it directly, for example "Look where the story begins" instead of "Check the timeline wall".</t>
  </si>
  <si>
    <t>active</t>
  </si>
  <si>
    <t>Yes to use the question, No to switch it off without deleting it.</t>
  </si>
  <si>
    <t>check</t>
  </si>
  <si>
    <t>Calculated. Shows Missing fields until the row is complete. Every row must show OK before sending.</t>
  </si>
  <si>
    <t>Permit wording</t>
  </si>
  <si>
    <t>Do not use: exclusive, new, for the first time, or any guaranteed results.</t>
  </si>
  <si>
    <t>Style</t>
  </si>
  <si>
    <t>No em dashes. Every answer must be visible on the booth walls exactly as written.</t>
  </si>
  <si>
    <t>Complete questions</t>
  </si>
  <si>
    <t>Example row</t>
  </si>
  <si>
    <t>Below, for format only. Do not copy it into the Questions tab unless it is correct for the booth.</t>
  </si>
  <si>
    <t>option_a</t>
  </si>
  <si>
    <t>option_b</t>
  </si>
  <si>
    <t>option_c</t>
  </si>
  <si>
    <t>option_d</t>
  </si>
  <si>
    <t>Q00</t>
  </si>
  <si>
    <t>Timeline</t>
  </si>
  <si>
    <t>In which year was Gulf Cryo established?</t>
  </si>
  <si>
    <t>1953</t>
  </si>
  <si>
    <t>1963</t>
  </si>
  <si>
    <t>1973</t>
  </si>
  <si>
    <t>1983</t>
  </si>
  <si>
    <t>A</t>
  </si>
  <si>
    <t>Look where the story begins.</t>
  </si>
  <si>
    <t>Yes</t>
  </si>
  <si>
    <t>notes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</si>
  <si>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</si>
  <si>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</si>
  <si>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</si>
  <si>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</si>
  <si>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</si>
  <si>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</si>
  <si>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</si>
  <si>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</si>
  <si>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</si>
  <si>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</si>
  <si>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</si>
  <si>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</si>
  <si>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</si>
  <si>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</si>
  <si>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</si>
  <si>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Add the remaining booth walls in the yellow cells. Map and Timeline were named by Hatem; the rest are to be filled.</t>
  </si>
  <si>
    <t>Map</t>
  </si>
  <si>
    <t>CCUS (4B Front)</t>
  </si>
  <si>
    <t>Liquid CO₂ Projects (4B Back)</t>
  </si>
  <si>
    <t>ATC (4C Front &amp; Back)</t>
  </si>
  <si>
    <t>Highlights</t>
  </si>
  <si>
    <t>Q16</t>
  </si>
  <si>
    <t>Q17</t>
  </si>
  <si>
    <t>Q18</t>
  </si>
  <si>
    <t>Q19</t>
  </si>
  <si>
    <t>Q20</t>
  </si>
  <si>
    <t>Q21</t>
  </si>
  <si>
    <t>What does CCUS stand for in Gulf Cryo’s carbon management offering?</t>
  </si>
  <si>
    <t>Carbon Capture, Utilization and Storage</t>
  </si>
  <si>
    <t>Carbon Cleaning and Utility Services</t>
  </si>
  <si>
    <t>Carbon Control and Urban Systems</t>
  </si>
  <si>
    <t>Carbon Conversion and Utility Systems</t>
  </si>
  <si>
    <t>Where does Gulf Cryo’s end-to-end carbon management journey begin?</t>
  </si>
  <si>
    <t>Offtake &amp; Utilization</t>
  </si>
  <si>
    <t>Capture &amp; Recovery</t>
  </si>
  <si>
    <t>Distribution</t>
  </si>
  <si>
    <t>Emissions Reporting</t>
  </si>
  <si>
    <t>B</t>
  </si>
  <si>
    <t>What is the final step in turning captured CO₂ into value?</t>
  </si>
  <si>
    <t>Gas Extraction</t>
  </si>
  <si>
    <t>Equipment Manufacturing</t>
  </si>
  <si>
    <t>Pipeline Inspection</t>
  </si>
  <si>
    <t>C</t>
  </si>
  <si>
    <t>How many countries support Gulf Cryo’s regional infrastructure network?</t>
  </si>
  <si>
    <t>5</t>
  </si>
  <si>
    <t>10</t>
  </si>
  <si>
    <t>20</t>
  </si>
  <si>
    <t>25</t>
  </si>
  <si>
    <t>Who partners with Gulf Cryo on CO₂ recovery in Kuwait?</t>
  </si>
  <si>
    <t>Holcim</t>
  </si>
  <si>
    <t>Equate</t>
  </si>
  <si>
    <t>Ma’aden</t>
  </si>
  <si>
    <t>ADNOC</t>
  </si>
  <si>
    <t>What daily CO₂ recovery capacity is listed for the Kuwait project?</t>
  </si>
  <si>
    <t>150 metric tonnes</t>
  </si>
  <si>
    <t>350 metric tonnes</t>
  </si>
  <si>
    <t>50 metric tonnes</t>
  </si>
  <si>
    <t>500 metric tonnes</t>
  </si>
  <si>
    <t>Who is Gulf Cryo’s CO₂ project partner in Western Saudi Arabia?</t>
  </si>
  <si>
    <t>Petro Rabigh</t>
  </si>
  <si>
    <t>RAK Ceramics</t>
  </si>
  <si>
    <t>Where is Gulf Cryo’s 50 mtpd CO₂ project in the UAE?</t>
  </si>
  <si>
    <t>Abu Dhabi</t>
  </si>
  <si>
    <t>Dubai</t>
  </si>
  <si>
    <t>Ras Al Khaimah</t>
  </si>
  <si>
    <t>Sharjah</t>
  </si>
  <si>
    <t>Who partners with Gulf Cryo on the Eastern Saudi Arabia CO₂ project?</t>
  </si>
  <si>
    <t>Who is the named partner for the planned 2027 Abu Dhabi CO₂ project?</t>
  </si>
  <si>
    <t>What does ATC stand for in Gulf Cryo’s applied innovation arm?</t>
  </si>
  <si>
    <t>Advanced Transport Center</t>
  </si>
  <si>
    <t>Applications &amp; Technology Center</t>
  </si>
  <si>
    <t>Arabian Testing Company</t>
  </si>
  <si>
    <t>Advanced Technology Council</t>
  </si>
  <si>
    <t>Where is Gulf Cryo advancing technology through its ATC?</t>
  </si>
  <si>
    <t>King Salman Energy Park (SPARK)</t>
  </si>
  <si>
    <t>Kuwait City</t>
  </si>
  <si>
    <t>Abu Dhabi Airport</t>
  </si>
  <si>
    <t>Doha</t>
  </si>
  <si>
    <t>What is the highlighted size of Gulf Cryo’s ATC at SPARK?</t>
  </si>
  <si>
    <t>9,000 m²</t>
  </si>
  <si>
    <t>90,000 m²</t>
  </si>
  <si>
    <t>900,000 m²</t>
  </si>
  <si>
    <t>45,000 m²</t>
  </si>
  <si>
    <t>How many years of industrial gas expertise does Gulf Cryo highlight?</t>
  </si>
  <si>
    <t>30+ years</t>
  </si>
  <si>
    <t>50+ years</t>
  </si>
  <si>
    <t>70+ years</t>
  </si>
  <si>
    <t>90+ years</t>
  </si>
  <si>
    <t>How many people power Gulf Cryo’s regional operations?</t>
  </si>
  <si>
    <t>500+</t>
  </si>
  <si>
    <t>1,700+</t>
  </si>
  <si>
    <t>5,000+</t>
  </si>
  <si>
    <t>3,000+</t>
  </si>
  <si>
    <t>How many manufacturing sites and filling stations support Gulf Cryo’s network?</t>
  </si>
  <si>
    <t>20+</t>
  </si>
  <si>
    <t>35+</t>
  </si>
  <si>
    <t>50+</t>
  </si>
  <si>
    <t>75+</t>
  </si>
  <si>
    <t>What annual liquid capacity underpins Gulf Cryo’s regional supply?</t>
  </si>
  <si>
    <t>100K+ MT</t>
  </si>
  <si>
    <t>600K+ MT</t>
  </si>
  <si>
    <t>1M+ MT</t>
  </si>
  <si>
    <t>300K+ MT</t>
  </si>
  <si>
    <t>How many nationalities contribute to Gulf Cryo’s regional expertise?</t>
  </si>
  <si>
    <t>40+</t>
  </si>
  <si>
    <t>60+</t>
  </si>
  <si>
    <t>80+</t>
  </si>
  <si>
    <t>What type of supply support does Gulf Cryo provide?</t>
  </si>
  <si>
    <t>Weekday-only supply</t>
  </si>
  <si>
    <t>24/7 liquid supply and regional network backup</t>
  </si>
  <si>
    <t>Seasonal supply only</t>
  </si>
  <si>
    <t>Monthly supply only</t>
  </si>
  <si>
    <t>Which of these countries is part of Gulf Cryo’s regional footprint?</t>
  </si>
  <si>
    <t>Turkey</t>
  </si>
  <si>
    <t>Germany</t>
  </si>
  <si>
    <t>Japan</t>
  </si>
  <si>
    <t>France</t>
  </si>
  <si>
    <t>Which North African country is part of Gulf Cryo’s regional footprint?</t>
  </si>
  <si>
    <t>Morocco</t>
  </si>
  <si>
    <t>Egypt</t>
  </si>
  <si>
    <t>Tunisia</t>
  </si>
  <si>
    <t>Algeria</t>
  </si>
  <si>
    <t>Find the wall that follows carbon from start to finish.</t>
  </si>
  <si>
    <t>On that same carbon journey, look at step one.</t>
  </si>
  <si>
    <t>Follow the carbon journey all the way to its last stop.</t>
  </si>
  <si>
    <t>The carbon journey wall also shows how far the network reaches.</t>
  </si>
  <si>
    <t>Walk round to the back of 4B and find Kuwait.</t>
  </si>
  <si>
    <t>Behind 4B, check how much the Kuwait project recovers each day.</t>
  </si>
  <si>
    <t>Behind 4B, look at the west side of Saudi Arabia.</t>
  </si>
  <si>
    <t>Behind 4B, find the UAE project running at 50 mtpd.</t>
  </si>
  <si>
    <t>Behind 4B, look at the east side of Saudi Arabia.</t>
  </si>
  <si>
    <t>Behind 4B, look for the project still to come in 2027.</t>
  </si>
  <si>
    <t>Head to 4C, where ideas get tested and turned into solutions.</t>
  </si>
  <si>
    <t>At 4C, look for the energy park.</t>
  </si>
  <si>
    <t>At 4C, look for a size in square metres.</t>
  </si>
  <si>
    <t>Find the wall packed with big stats and look for the years.</t>
  </si>
  <si>
    <t>On the big stats wall, look for the people behind it all.</t>
  </si>
  <si>
    <t>On the big stats wall, count the sites and stations.</t>
  </si>
  <si>
    <t>On the big stats wall, find the yearly liquid figure.</t>
  </si>
  <si>
    <t>On the big stats wall, see how many backgrounds the team comes from.</t>
  </si>
  <si>
    <t>On the big stats wall, look for the round-the-clock promise.</t>
  </si>
  <si>
    <t>Check the regional footprint on the big stats wall.</t>
  </si>
  <si>
    <t>On the regional footprint, look across to North Africa.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</si>
</sst>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36588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10"/>
      <color rgb="FF5B5E61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365888"/>
        <bgColor rgb="FF5B5E61"/>
      </patternFill>
    </fill>
    <fill>
      <patternFill patternType="solid">
        <fgColor rgb="FFFFF8DC"/>
        <bgColor rgb="FFFFFFFF"/>
      </patternFill>
    </fill>
  </fills>
  <borders count="2">
    <border>
      <left/>
      <right/>
      <top/>
      <bottom/>
      <diagonal/>
    </border>
    <border>
      <left style="thin">
        <color rgb="FFC9CFD6"/>
      </left>
      <right style="thin">
        <color rgb="FFC9CFD6"/>
      </right>
      <top style="thin">
        <color rgb="FFC9CFD6"/>
      </top>
      <bottom style="thin">
        <color rgb="FFC9CFD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3" fillId="0" borderId="1" xfId="0" applyFont="1" applyBorder="1"/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0" xfId="0" applyFont="1"/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C0392B"/>
      </font>
    </dxf>
    <dxf>
      <font>
        <b/>
        <color rgb="FF2E7D4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E61"/>
      <rgbColor rgb="FF969696"/>
      <rgbColor rgb="FF003366"/>
      <rgbColor rgb="FF2E7D4F"/>
      <rgbColor rgb="FF003300"/>
      <rgbColor rgb="FF333300"/>
      <rgbColor rgb="FFC0392B"/>
      <rgbColor rgb="FF993366"/>
      <rgbColor rgb="FF3658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7F32A9-A05E-41F0-A706-F25180008DDC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c5adbe70-fe78-4f3b-b3c2-454ca141e9d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Normal="100" workbookViewId="0"/>
  </sheetViews>
  <sheetFormatPr defaultColWidth="8.703125" defaultRowHeight="14.35" x14ac:dyDescent="0.5"/>
  <cols>
    <col min="1" max="1" width="26" customWidth="1"/>
    <col min="2" max="2" width="90" customWidth="1"/>
    <col min="3" max="10" width="16" customWidth="1"/>
  </cols>
  <sheetData>
    <row r="1" spans="1:2" ht="17.7" x14ac:dyDescent="0.55000000000000004">
      <c r="A1" s="1" t="s">
        <v>0</v>
      </c>
    </row>
    <row r="3" spans="1:2" ht="25.35" x14ac:dyDescent="0.5">
      <c r="A3" s="2" t="s">
        <v>1</v>
      </c>
      <c r="B3" s="3" t="s">
        <v>2</v>
      </c>
    </row>
    <row r="4" spans="1:2" x14ac:dyDescent="0.5">
      <c r="A4" s="2" t="s">
        <v>3</v>
      </c>
      <c r="B4" s="3" t="s">
        <v>4</v>
      </c>
    </row>
    <row r="5" spans="1:2" ht="25.35" x14ac:dyDescent="0.5">
      <c r="A5" s="2" t="s">
        <v>5</v>
      </c>
      <c r="B5" s="3" t="s">
        <v>6</v>
      </c>
    </row>
    <row r="6" spans="1:2" x14ac:dyDescent="0.5">
      <c r="A6" s="2" t="s">
        <v>7</v>
      </c>
      <c r="B6" s="3" t="s">
        <v>8</v>
      </c>
    </row>
    <row r="7" spans="1:2" x14ac:dyDescent="0.5">
      <c r="A7" s="2" t="s">
        <v>9</v>
      </c>
      <c r="B7" s="3" t="s">
        <v>10</v>
      </c>
    </row>
    <row r="8" spans="1:2" x14ac:dyDescent="0.5">
      <c r="A8" s="2" t="s">
        <v>11</v>
      </c>
      <c r="B8" s="3" t="s">
        <v>12</v>
      </c>
    </row>
    <row r="9" spans="1:2" x14ac:dyDescent="0.5">
      <c r="A9" s="2" t="s">
        <v>13</v>
      </c>
      <c r="B9" s="3" t="s">
        <v>14</v>
      </c>
    </row>
    <row r="10" spans="1:2" ht="25.35" x14ac:dyDescent="0.5">
      <c r="A10" s="2" t="s">
        <v>15</v>
      </c>
      <c r="B10" s="3" t="s">
        <v>16</v>
      </c>
    </row>
    <row r="11" spans="1:2" x14ac:dyDescent="0.5">
      <c r="A11" s="2" t="s">
        <v>17</v>
      </c>
      <c r="B11" s="3" t="s">
        <v>18</v>
      </c>
    </row>
    <row r="12" spans="1:2" x14ac:dyDescent="0.5">
      <c r="A12" s="2" t="s">
        <v>19</v>
      </c>
      <c r="B12" s="3" t="s">
        <v>20</v>
      </c>
    </row>
    <row r="13" spans="1:2" x14ac:dyDescent="0.5">
      <c r="A13" s="2" t="s">
        <v>21</v>
      </c>
      <c r="B13" s="3" t="s">
        <v>22</v>
      </c>
    </row>
    <row r="14" spans="1:2" x14ac:dyDescent="0.5">
      <c r="A14" s="2" t="s">
        <v>23</v>
      </c>
      <c r="B14" s="3" t="s">
        <v>24</v>
      </c>
    </row>
    <row r="15" spans="1:2" x14ac:dyDescent="0.5">
      <c r="A15" s="2" t="s">
        <v>25</v>
      </c>
      <c r="B15" s="3" t="str">
        <f>COUNTIF(Questions!L2:L200,"OK")&amp;" of "&amp;COUNTA(Questions!A2:A200)&amp;" rows complete"</f>
        <v>21 of 21 rows complete</v>
      </c>
    </row>
    <row r="16" spans="1:2" x14ac:dyDescent="0.5">
      <c r="A16" s="2" t="s">
        <v>26</v>
      </c>
      <c r="B16" s="3" t="s">
        <v>27</v>
      </c>
    </row>
    <row r="18" spans="1:10" x14ac:dyDescent="0.5">
      <c r="A18" s="4" t="s">
        <v>5</v>
      </c>
      <c r="B18" s="4" t="s">
        <v>7</v>
      </c>
      <c r="C18" s="4" t="s">
        <v>9</v>
      </c>
      <c r="D18" s="4" t="s">
        <v>28</v>
      </c>
      <c r="E18" s="4" t="s">
        <v>29</v>
      </c>
      <c r="F18" s="4" t="s">
        <v>30</v>
      </c>
      <c r="G18" s="4" t="s">
        <v>31</v>
      </c>
      <c r="H18" s="4" t="s">
        <v>13</v>
      </c>
      <c r="I18" s="4" t="s">
        <v>15</v>
      </c>
      <c r="J18" s="4" t="s">
        <v>17</v>
      </c>
    </row>
    <row r="19" spans="1:10" x14ac:dyDescent="0.5">
      <c r="A19" s="5" t="s">
        <v>32</v>
      </c>
      <c r="B19" s="5" t="s">
        <v>33</v>
      </c>
      <c r="C19" s="5" t="s">
        <v>34</v>
      </c>
      <c r="D19" s="5" t="s">
        <v>35</v>
      </c>
      <c r="E19" s="5" t="s">
        <v>36</v>
      </c>
      <c r="F19" s="5" t="s">
        <v>37</v>
      </c>
      <c r="G19" s="5" t="s">
        <v>38</v>
      </c>
      <c r="H19" s="5" t="s">
        <v>39</v>
      </c>
      <c r="I19" s="5" t="s">
        <v>40</v>
      </c>
      <c r="J19" s="5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zoomScale="70" zoomScaleNormal="7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ColWidth="8.703125" defaultRowHeight="14.35" x14ac:dyDescent="0.5"/>
  <cols>
    <col min="1" max="1" width="12" customWidth="1"/>
    <col min="2" max="2" width="16" customWidth="1"/>
    <col min="3" max="3" width="48" customWidth="1"/>
    <col min="4" max="7" width="22" customWidth="1"/>
    <col min="8" max="8" width="15" customWidth="1"/>
    <col min="9" max="9" width="36" customWidth="1"/>
    <col min="10" max="10" width="9" customWidth="1"/>
    <col min="11" max="11" width="30" customWidth="1"/>
    <col min="12" max="12" width="16" customWidth="1"/>
  </cols>
  <sheetData>
    <row r="1" spans="1:12" x14ac:dyDescent="0.5">
      <c r="A1" s="6" t="s">
        <v>5</v>
      </c>
      <c r="B1" s="6" t="s">
        <v>7</v>
      </c>
      <c r="C1" s="6" t="s">
        <v>9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13</v>
      </c>
      <c r="I1" s="6" t="s">
        <v>15</v>
      </c>
      <c r="J1" s="6" t="s">
        <v>17</v>
      </c>
      <c r="K1" s="6" t="s">
        <v>42</v>
      </c>
      <c r="L1" s="6" t="s">
        <v>19</v>
      </c>
    </row>
    <row r="2" spans="1:12" ht="25.35" x14ac:dyDescent="0.5">
      <c r="A2" s="7" t="s">
        <v>43</v>
      </c>
      <c r="B2" s="8" t="s">
        <v>60</v>
      </c>
      <c r="C2" s="8" t="s">
        <v>70</v>
      </c>
      <c r="D2" s="11" t="s">
        <v>71</v>
      </c>
      <c r="E2" s="11" t="s">
        <v>72</v>
      </c>
      <c r="F2" s="11" t="s">
        <v>73</v>
      </c>
      <c r="G2" s="11" t="s">
        <v>74</v>
      </c>
      <c r="H2" s="8" t="s">
        <v>39</v>
      </c>
      <c r="I2" s="8" t="s">
        <v>165</v>
      </c>
      <c r="J2" s="8" t="s">
        <v>41</v>
      </c>
      <c r="K2" s="8"/>
      <c r="L2" s="7" t="str">
        <f t="shared" ref="L2:L16" si="0">IF(COUNTA(B2:J2)&lt;9,"Missing fields",IF(COUNTIF(D2:G2,D2)+COUNTIF(D2:G2,E2)+COUNTIF(D2:G2,F2)+COUNTIF(D2:G2,G2)&gt;4,"Duplicate options","OK"))</f>
        <v>OK</v>
      </c>
    </row>
    <row r="3" spans="1:12" ht="25.35" x14ac:dyDescent="0.5">
      <c r="A3" s="7" t="s">
        <v>44</v>
      </c>
      <c r="B3" s="8" t="s">
        <v>60</v>
      </c>
      <c r="C3" s="8" t="s">
        <v>75</v>
      </c>
      <c r="D3" s="11" t="s">
        <v>76</v>
      </c>
      <c r="E3" s="11" t="s">
        <v>77</v>
      </c>
      <c r="F3" s="11" t="s">
        <v>78</v>
      </c>
      <c r="G3" s="11" t="s">
        <v>79</v>
      </c>
      <c r="H3" s="8" t="s">
        <v>80</v>
      </c>
      <c r="I3" s="8" t="s">
        <v>166</v>
      </c>
      <c r="J3" s="8" t="s">
        <v>41</v>
      </c>
      <c r="K3" s="8"/>
      <c r="L3" s="7" t="str">
        <f t="shared" si="0"/>
        <v>OK</v>
      </c>
    </row>
    <row r="4" spans="1:12" ht="25.35" x14ac:dyDescent="0.5">
      <c r="A4" s="7" t="s">
        <v>45</v>
      </c>
      <c r="B4" s="8" t="s">
        <v>60</v>
      </c>
      <c r="C4" s="8" t="s">
        <v>81</v>
      </c>
      <c r="D4" s="11" t="s">
        <v>82</v>
      </c>
      <c r="E4" s="11" t="s">
        <v>83</v>
      </c>
      <c r="F4" s="11" t="s">
        <v>76</v>
      </c>
      <c r="G4" s="11" t="s">
        <v>84</v>
      </c>
      <c r="H4" s="8" t="s">
        <v>85</v>
      </c>
      <c r="I4" s="8" t="s">
        <v>167</v>
      </c>
      <c r="J4" s="8" t="s">
        <v>41</v>
      </c>
      <c r="K4" s="8"/>
      <c r="L4" s="7" t="str">
        <f t="shared" si="0"/>
        <v>OK</v>
      </c>
    </row>
    <row r="5" spans="1:12" ht="25.35" x14ac:dyDescent="0.5">
      <c r="A5" s="7" t="s">
        <v>46</v>
      </c>
      <c r="B5" s="8" t="s">
        <v>60</v>
      </c>
      <c r="C5" s="8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8" t="s">
        <v>80</v>
      </c>
      <c r="I5" s="8" t="s">
        <v>168</v>
      </c>
      <c r="J5" s="8" t="s">
        <v>41</v>
      </c>
      <c r="K5" s="8"/>
      <c r="L5" s="7" t="str">
        <f t="shared" si="0"/>
        <v>OK</v>
      </c>
    </row>
    <row r="6" spans="1:12" ht="25.35" x14ac:dyDescent="0.5">
      <c r="A6" s="7" t="s">
        <v>47</v>
      </c>
      <c r="B6" s="8" t="s">
        <v>61</v>
      </c>
      <c r="C6" s="8" t="s">
        <v>91</v>
      </c>
      <c r="D6" s="11" t="s">
        <v>92</v>
      </c>
      <c r="E6" s="11" t="s">
        <v>93</v>
      </c>
      <c r="F6" s="11" t="s">
        <v>94</v>
      </c>
      <c r="G6" s="11" t="s">
        <v>95</v>
      </c>
      <c r="H6" s="8" t="s">
        <v>80</v>
      </c>
      <c r="I6" s="8" t="s">
        <v>169</v>
      </c>
      <c r="J6" s="8" t="s">
        <v>41</v>
      </c>
      <c r="K6" s="8"/>
      <c r="L6" s="7" t="str">
        <f t="shared" si="0"/>
        <v>OK</v>
      </c>
    </row>
    <row r="7" spans="1:12" ht="25.35" x14ac:dyDescent="0.5">
      <c r="A7" s="7" t="s">
        <v>48</v>
      </c>
      <c r="B7" s="8" t="s">
        <v>61</v>
      </c>
      <c r="C7" s="8" t="s">
        <v>96</v>
      </c>
      <c r="D7" s="11" t="s">
        <v>97</v>
      </c>
      <c r="E7" s="11" t="s">
        <v>98</v>
      </c>
      <c r="F7" s="11" t="s">
        <v>99</v>
      </c>
      <c r="G7" s="11" t="s">
        <v>100</v>
      </c>
      <c r="H7" s="8" t="s">
        <v>80</v>
      </c>
      <c r="I7" s="8" t="s">
        <v>170</v>
      </c>
      <c r="J7" s="8" t="s">
        <v>41</v>
      </c>
      <c r="K7" s="8"/>
      <c r="L7" s="7" t="str">
        <f t="shared" si="0"/>
        <v>OK</v>
      </c>
    </row>
    <row r="8" spans="1:12" ht="25.35" x14ac:dyDescent="0.5">
      <c r="A8" s="7" t="s">
        <v>49</v>
      </c>
      <c r="B8" s="8" t="s">
        <v>61</v>
      </c>
      <c r="C8" s="8" t="s">
        <v>101</v>
      </c>
      <c r="D8" s="11" t="s">
        <v>102</v>
      </c>
      <c r="E8" s="11" t="s">
        <v>93</v>
      </c>
      <c r="F8" s="11" t="s">
        <v>92</v>
      </c>
      <c r="G8" s="11" t="s">
        <v>103</v>
      </c>
      <c r="H8" s="8" t="s">
        <v>39</v>
      </c>
      <c r="I8" s="8" t="s">
        <v>171</v>
      </c>
      <c r="J8" s="8" t="s">
        <v>41</v>
      </c>
      <c r="K8" s="8"/>
      <c r="L8" s="7" t="str">
        <f t="shared" si="0"/>
        <v>OK</v>
      </c>
    </row>
    <row r="9" spans="1:12" ht="25.35" x14ac:dyDescent="0.5">
      <c r="A9" s="7" t="s">
        <v>50</v>
      </c>
      <c r="B9" s="8" t="s">
        <v>61</v>
      </c>
      <c r="C9" s="8" t="s">
        <v>104</v>
      </c>
      <c r="D9" s="11" t="s">
        <v>105</v>
      </c>
      <c r="E9" s="11" t="s">
        <v>106</v>
      </c>
      <c r="F9" s="11" t="s">
        <v>107</v>
      </c>
      <c r="G9" s="11" t="s">
        <v>108</v>
      </c>
      <c r="H9" s="8" t="s">
        <v>85</v>
      </c>
      <c r="I9" s="8" t="s">
        <v>172</v>
      </c>
      <c r="J9" s="8" t="s">
        <v>41</v>
      </c>
      <c r="K9" s="8"/>
      <c r="L9" s="7" t="str">
        <f t="shared" si="0"/>
        <v>OK</v>
      </c>
    </row>
    <row r="10" spans="1:12" ht="25.35" x14ac:dyDescent="0.5">
      <c r="A10" s="7" t="s">
        <v>51</v>
      </c>
      <c r="B10" s="8" t="s">
        <v>61</v>
      </c>
      <c r="C10" s="8" t="s">
        <v>109</v>
      </c>
      <c r="D10" s="11" t="s">
        <v>94</v>
      </c>
      <c r="E10" s="11" t="s">
        <v>103</v>
      </c>
      <c r="F10" s="11" t="s">
        <v>93</v>
      </c>
      <c r="G10" s="11" t="s">
        <v>102</v>
      </c>
      <c r="H10" s="8" t="s">
        <v>39</v>
      </c>
      <c r="I10" s="8" t="s">
        <v>173</v>
      </c>
      <c r="J10" s="8" t="s">
        <v>41</v>
      </c>
      <c r="K10" s="8"/>
      <c r="L10" s="7" t="str">
        <f t="shared" si="0"/>
        <v>OK</v>
      </c>
    </row>
    <row r="11" spans="1:12" ht="25.35" x14ac:dyDescent="0.5">
      <c r="A11" s="7" t="s">
        <v>52</v>
      </c>
      <c r="B11" s="8" t="s">
        <v>61</v>
      </c>
      <c r="C11" s="8" t="s">
        <v>110</v>
      </c>
      <c r="D11" s="11" t="s">
        <v>92</v>
      </c>
      <c r="E11" s="11" t="s">
        <v>102</v>
      </c>
      <c r="F11" s="11" t="s">
        <v>93</v>
      </c>
      <c r="G11" s="11" t="s">
        <v>103</v>
      </c>
      <c r="H11" s="8" t="s">
        <v>39</v>
      </c>
      <c r="I11" s="8" t="s">
        <v>174</v>
      </c>
      <c r="J11" s="8" t="s">
        <v>41</v>
      </c>
      <c r="K11" s="8"/>
      <c r="L11" s="7" t="str">
        <f t="shared" si="0"/>
        <v>OK</v>
      </c>
    </row>
    <row r="12" spans="1:12" ht="25.35" x14ac:dyDescent="0.5">
      <c r="A12" s="7" t="s">
        <v>53</v>
      </c>
      <c r="B12" s="8" t="s">
        <v>62</v>
      </c>
      <c r="C12" s="8" t="s">
        <v>111</v>
      </c>
      <c r="D12" s="11" t="s">
        <v>112</v>
      </c>
      <c r="E12" s="11" t="s">
        <v>113</v>
      </c>
      <c r="F12" s="11" t="s">
        <v>114</v>
      </c>
      <c r="G12" s="11" t="s">
        <v>115</v>
      </c>
      <c r="H12" s="8" t="s">
        <v>80</v>
      </c>
      <c r="I12" s="8" t="s">
        <v>175</v>
      </c>
      <c r="J12" s="8" t="s">
        <v>41</v>
      </c>
      <c r="K12" s="8"/>
      <c r="L12" s="7" t="str">
        <f t="shared" si="0"/>
        <v>OK</v>
      </c>
    </row>
    <row r="13" spans="1:12" ht="25.35" x14ac:dyDescent="0.5">
      <c r="A13" s="7" t="s">
        <v>54</v>
      </c>
      <c r="B13" s="8" t="s">
        <v>62</v>
      </c>
      <c r="C13" s="8" t="s">
        <v>116</v>
      </c>
      <c r="D13" s="11" t="s">
        <v>117</v>
      </c>
      <c r="E13" s="11" t="s">
        <v>118</v>
      </c>
      <c r="F13" s="11" t="s">
        <v>119</v>
      </c>
      <c r="G13" s="11" t="s">
        <v>120</v>
      </c>
      <c r="H13" s="8" t="s">
        <v>39</v>
      </c>
      <c r="I13" s="8" t="s">
        <v>176</v>
      </c>
      <c r="J13" s="8" t="s">
        <v>41</v>
      </c>
      <c r="K13" s="8"/>
      <c r="L13" s="7" t="str">
        <f t="shared" si="0"/>
        <v>OK</v>
      </c>
    </row>
    <row r="14" spans="1:12" ht="25.35" x14ac:dyDescent="0.5">
      <c r="A14" s="7" t="s">
        <v>55</v>
      </c>
      <c r="B14" s="8" t="s">
        <v>62</v>
      </c>
      <c r="C14" s="8" t="s">
        <v>121</v>
      </c>
      <c r="D14" s="11" t="s">
        <v>122</v>
      </c>
      <c r="E14" s="11" t="s">
        <v>123</v>
      </c>
      <c r="F14" s="11" t="s">
        <v>124</v>
      </c>
      <c r="G14" s="11" t="s">
        <v>125</v>
      </c>
      <c r="H14" s="8" t="s">
        <v>80</v>
      </c>
      <c r="I14" s="8" t="s">
        <v>177</v>
      </c>
      <c r="J14" s="8" t="s">
        <v>41</v>
      </c>
      <c r="K14" s="8"/>
      <c r="L14" s="7" t="str">
        <f t="shared" si="0"/>
        <v>OK</v>
      </c>
    </row>
    <row r="15" spans="1:12" ht="25.35" x14ac:dyDescent="0.5">
      <c r="A15" s="7" t="s">
        <v>56</v>
      </c>
      <c r="B15" s="8" t="s">
        <v>63</v>
      </c>
      <c r="C15" s="8" t="s">
        <v>126</v>
      </c>
      <c r="D15" s="11" t="s">
        <v>127</v>
      </c>
      <c r="E15" s="11" t="s">
        <v>128</v>
      </c>
      <c r="F15" s="11" t="s">
        <v>129</v>
      </c>
      <c r="G15" s="11" t="s">
        <v>130</v>
      </c>
      <c r="H15" s="8" t="s">
        <v>85</v>
      </c>
      <c r="I15" s="8" t="s">
        <v>178</v>
      </c>
      <c r="J15" s="8" t="s">
        <v>41</v>
      </c>
      <c r="K15" s="8"/>
      <c r="L15" s="7" t="str">
        <f t="shared" si="0"/>
        <v>OK</v>
      </c>
    </row>
    <row r="16" spans="1:12" ht="25.35" x14ac:dyDescent="0.5">
      <c r="A16" s="7" t="s">
        <v>57</v>
      </c>
      <c r="B16" s="8" t="s">
        <v>63</v>
      </c>
      <c r="C16" s="8" t="s">
        <v>131</v>
      </c>
      <c r="D16" s="11" t="s">
        <v>132</v>
      </c>
      <c r="E16" s="11" t="s">
        <v>133</v>
      </c>
      <c r="F16" s="11" t="s">
        <v>134</v>
      </c>
      <c r="G16" s="11" t="s">
        <v>135</v>
      </c>
      <c r="H16" s="8" t="s">
        <v>80</v>
      </c>
      <c r="I16" s="8" t="s">
        <v>179</v>
      </c>
      <c r="J16" s="8" t="s">
        <v>41</v>
      </c>
      <c r="K16" s="8"/>
      <c r="L16" s="7" t="str">
        <f t="shared" si="0"/>
        <v>OK</v>
      </c>
    </row>
    <row r="17" spans="1:12" ht="25.35" x14ac:dyDescent="0.5">
      <c r="A17" s="7" t="s">
        <v>64</v>
      </c>
      <c r="B17" s="8" t="s">
        <v>63</v>
      </c>
      <c r="C17" s="8" t="s">
        <v>136</v>
      </c>
      <c r="D17" s="11" t="s">
        <v>137</v>
      </c>
      <c r="E17" s="11" t="s">
        <v>138</v>
      </c>
      <c r="F17" s="11" t="s">
        <v>139</v>
      </c>
      <c r="G17" s="11" t="s">
        <v>140</v>
      </c>
      <c r="H17" s="8" t="s">
        <v>85</v>
      </c>
      <c r="I17" s="8" t="s">
        <v>180</v>
      </c>
      <c r="J17" s="8" t="s">
        <v>41</v>
      </c>
      <c r="K17" s="8"/>
      <c r="L17" s="7" t="str">
        <f t="shared" ref="L17:L22" si="1">IF(COUNTA(B17:J17)&lt;9,"Missing fields",IF(COUNTIF(D17:G17,D17)+COUNTIF(D17:G17,E17)+COUNTIF(D17:G17,F17)+COUNTIF(D17:G17,G17)&gt;4,"Duplicate options","OK"))</f>
        <v>OK</v>
      </c>
    </row>
    <row r="18" spans="1:12" ht="25.35" x14ac:dyDescent="0.5">
      <c r="A18" s="7" t="s">
        <v>65</v>
      </c>
      <c r="B18" s="8" t="s">
        <v>63</v>
      </c>
      <c r="C18" s="8" t="s">
        <v>141</v>
      </c>
      <c r="D18" s="11" t="s">
        <v>142</v>
      </c>
      <c r="E18" s="11" t="s">
        <v>143</v>
      </c>
      <c r="F18" s="11" t="s">
        <v>144</v>
      </c>
      <c r="G18" s="11" t="s">
        <v>145</v>
      </c>
      <c r="H18" s="8" t="s">
        <v>80</v>
      </c>
      <c r="I18" s="8" t="s">
        <v>181</v>
      </c>
      <c r="J18" s="8" t="s">
        <v>41</v>
      </c>
      <c r="K18" s="8"/>
      <c r="L18" s="7" t="str">
        <f t="shared" si="1"/>
        <v>OK</v>
      </c>
    </row>
    <row r="19" spans="1:12" ht="25.35" x14ac:dyDescent="0.5">
      <c r="A19" s="7" t="s">
        <v>66</v>
      </c>
      <c r="B19" s="8" t="s">
        <v>63</v>
      </c>
      <c r="C19" s="8" t="s">
        <v>146</v>
      </c>
      <c r="D19" s="11" t="s">
        <v>137</v>
      </c>
      <c r="E19" s="11" t="s">
        <v>147</v>
      </c>
      <c r="F19" s="11" t="s">
        <v>148</v>
      </c>
      <c r="G19" s="11" t="s">
        <v>149</v>
      </c>
      <c r="H19" s="8" t="s">
        <v>80</v>
      </c>
      <c r="I19" s="8" t="s">
        <v>182</v>
      </c>
      <c r="J19" s="8" t="s">
        <v>41</v>
      </c>
      <c r="K19" s="8"/>
      <c r="L19" s="7" t="str">
        <f t="shared" si="1"/>
        <v>OK</v>
      </c>
    </row>
    <row r="20" spans="1:12" ht="25.35" x14ac:dyDescent="0.5">
      <c r="A20" s="7" t="s">
        <v>67</v>
      </c>
      <c r="B20" s="8" t="s">
        <v>63</v>
      </c>
      <c r="C20" s="8" t="s">
        <v>150</v>
      </c>
      <c r="D20" s="11" t="s">
        <v>151</v>
      </c>
      <c r="E20" s="11" t="s">
        <v>152</v>
      </c>
      <c r="F20" s="11" t="s">
        <v>153</v>
      </c>
      <c r="G20" s="11" t="s">
        <v>154</v>
      </c>
      <c r="H20" s="8" t="s">
        <v>80</v>
      </c>
      <c r="I20" s="8" t="s">
        <v>183</v>
      </c>
      <c r="J20" s="8" t="s">
        <v>41</v>
      </c>
      <c r="K20" s="8"/>
      <c r="L20" s="7" t="str">
        <f t="shared" si="1"/>
        <v>OK</v>
      </c>
    </row>
    <row r="21" spans="1:12" ht="25.35" x14ac:dyDescent="0.5">
      <c r="A21" s="7" t="s">
        <v>68</v>
      </c>
      <c r="B21" s="8" t="s">
        <v>63</v>
      </c>
      <c r="C21" s="8" t="s">
        <v>155</v>
      </c>
      <c r="D21" s="11" t="s">
        <v>156</v>
      </c>
      <c r="E21" s="11" t="s">
        <v>157</v>
      </c>
      <c r="F21" s="11" t="s">
        <v>158</v>
      </c>
      <c r="G21" s="11" t="s">
        <v>159</v>
      </c>
      <c r="H21" s="8" t="s">
        <v>39</v>
      </c>
      <c r="I21" s="8" t="s">
        <v>184</v>
      </c>
      <c r="J21" s="8" t="s">
        <v>41</v>
      </c>
      <c r="K21" s="8"/>
      <c r="L21" s="7" t="str">
        <f t="shared" si="1"/>
        <v>OK</v>
      </c>
    </row>
    <row r="22" spans="1:12" ht="25.35" x14ac:dyDescent="0.5">
      <c r="A22" s="7" t="s">
        <v>69</v>
      </c>
      <c r="B22" s="8" t="s">
        <v>63</v>
      </c>
      <c r="C22" s="8" t="s">
        <v>160</v>
      </c>
      <c r="D22" s="11" t="s">
        <v>161</v>
      </c>
      <c r="E22" s="11" t="s">
        <v>162</v>
      </c>
      <c r="F22" s="11" t="s">
        <v>163</v>
      </c>
      <c r="G22" s="11" t="s">
        <v>164</v>
      </c>
      <c r="H22" s="8" t="s">
        <v>80</v>
      </c>
      <c r="I22" s="8" t="s">
        <v>185</v>
      </c>
      <c r="J22" s="8" t="s">
        <v>41</v>
      </c>
      <c r="K22" s="8"/>
      <c r="L22" s="7" t="str">
        <f t="shared" si="1"/>
        <v>OK</v>
      </c>
    </row>
  </sheetData>
  <conditionalFormatting sqref="L2:L200">
    <cfRule type="expression" dxfId="1" priority="2">
      <formula>$L2="OK"</formula>
    </cfRule>
    <cfRule type="expression" dxfId="0" priority="3">
      <formula>AND($L2&lt;&gt;"OK",$L2&lt;&gt;"")</formula>
    </cfRule>
  </conditionalFormatting>
  <dataValidations count="2">
    <dataValidation type="list" allowBlank="1" sqref="H2:H200" xr:uid="{00000000-0002-0000-0100-000001000000}">
      <formula1>"A,B,C,D"</formula1>
      <formula2>0</formula2>
    </dataValidation>
    <dataValidation type="list" allowBlank="1" sqref="J2:J200" xr:uid="{00000000-0002-0000-01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Walls!$A$2:$A$11</xm:f>
          </x14:formula1>
          <x14:formula2>
            <xm:f>0</xm:f>
          </x14:formula2>
          <xm:sqref>B2:B200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703125" defaultRowHeight="14.35" x14ac:dyDescent="0.5"/>
  <cols>
    <col min="1" max="1" width="30" customWidth="1"/>
  </cols>
  <sheetData>
    <row r="1" spans="1:3" x14ac:dyDescent="0.5">
      <c r="A1" s="4" t="s">
        <v>7</v>
      </c>
      <c r="C1" s="9" t="s">
        <v>58</v>
      </c>
    </row>
    <row r="2" spans="1:3" x14ac:dyDescent="0.5">
      <c r="A2" s="10" t="s">
        <v>59</v>
      </c>
    </row>
    <row r="3" spans="1:3" x14ac:dyDescent="0.5">
      <c r="A3" s="10" t="s">
        <v>33</v>
      </c>
    </row>
    <row r="4" spans="1:3" x14ac:dyDescent="0.5">
      <c r="A4" s="10" t="s">
        <v>60</v>
      </c>
    </row>
    <row r="5" spans="1:3" x14ac:dyDescent="0.5">
      <c r="A5" s="10" t="s">
        <v>61</v>
      </c>
    </row>
    <row r="6" spans="1:3" x14ac:dyDescent="0.5">
      <c r="A6" s="10" t="s">
        <v>62</v>
      </c>
    </row>
    <row r="7" spans="1:3" x14ac:dyDescent="0.5">
      <c r="A7" s="10" t="s">
        <v>63</v>
      </c>
    </row>
    <row r="8" spans="1:3" x14ac:dyDescent="0.5">
      <c r="A8" s="10"/>
    </row>
    <row r="9" spans="1:3" x14ac:dyDescent="0.5">
      <c r="A9" s="10"/>
    </row>
    <row r="10" spans="1:3" x14ac:dyDescent="0.5">
      <c r="A10" s="10"/>
    </row>
    <row r="11" spans="1:3" x14ac:dyDescent="0.5">
      <c r="A11" s="10"/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7f90821-cf1d-435d-b5d1-ac3935970e89}" enabled="1" method="Standard" siteId="{5f3bf85d-faa5-4fbd-a0c6-8da9101c38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Questions</vt:lpstr>
      <vt:lpstr>Walls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Hatem Mohamed Ahmed</cp:lastModifiedBy>
  <cp:revision>0</cp:revision>
  <dcterms:created xsi:type="dcterms:W3CDTF">2026-10-23T06:17:27Z</dcterms:created>
  <dcterms:modified xsi:type="dcterms:W3CDTF">2026-10-23T10:01:04Z</dcterms:modified>
  <dc:language>en-US</dc:language>
</cp:coreProperties>
</file>